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PREHĽAD" sheetId="1" state="visible" r:id="rId3"/>
    <sheet name="V01" sheetId="2" state="visible" r:id="rId4"/>
    <sheet name="3 ANKI ALL-LECTURES" sheetId="3" state="visible" r:id="rId5"/>
  </sheets>
  <definedNames>
    <definedName function="false" hidden="true" localSheetId="1" name="_xlnm._FilterDatabase" vbProcedure="false">V01!$A$1:$E$14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Číslo slajdu → obrázok v poli Personal Notes.
Viac slajdov: 15,16 alebo 5-7.</t>
        </r>
      </text>
    </comment>
    <comment ref="D1" authorId="0">
      <text>
        <r>
          <rPr>
            <sz val="10"/>
            <rFont val="Arial"/>
            <family val="2"/>
          </rPr>
          <t xml:space="preserve">Číslo slajdu → obrázok v poli Source.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Číslo slajdu → obrázok v poli Personal Notes.
Viac slajdov: 15,16 alebo 5-7.</t>
        </r>
      </text>
    </comment>
    <comment ref="D1" authorId="0">
      <text>
        <r>
          <rPr>
            <sz val="10"/>
            <rFont val="Arial"/>
            <family val="2"/>
          </rPr>
          <t xml:space="preserve">Číslo slajdu → obrázok v poli Source.</t>
        </r>
      </text>
    </comment>
  </commentList>
</comments>
</file>

<file path=xl/sharedStrings.xml><?xml version="1.0" encoding="utf-8"?>
<sst xmlns="http://schemas.openxmlformats.org/spreadsheetml/2006/main" count="88" uniqueCount="59">
  <si>
    <t xml:space="preserve">#</t>
  </si>
  <si>
    <t xml:space="preserve">topic</t>
  </si>
  <si>
    <t xml:space="preserve">sheet</t>
  </si>
  <si>
    <t xml:space="preserve">pdf</t>
  </si>
  <si>
    <t xml:space="preserve">img base</t>
  </si>
  <si>
    <t xml:space="preserve">↓ Subject</t>
  </si>
  <si>
    <t xml:space="preserve">↓ Semester, Year</t>
  </si>
  <si>
    <t xml:space="preserve">krv a zrážanie</t>
  </si>
  <si>
    <t xml:space="preserve">PharmII_P_01</t>
  </si>
  <si>
    <t xml:space="preserve">Pharma II</t>
  </si>
  <si>
    <t xml:space="preserve">2024-WS</t>
  </si>
  <si>
    <t xml:space="preserve">hypertenzia</t>
  </si>
  <si>
    <t xml:space="preserve">(zatiaľ bez listu)</t>
  </si>
  <si>
    <t xml:space="preserve">angina pect.</t>
  </si>
  <si>
    <t xml:space="preserve">LEGENDA</t>
  </si>
  <si>
    <t xml:space="preserve">Biely text = píšeš ty (Front, Back, Tags).</t>
  </si>
  <si>
    <t xml:space="preserve">Zelené číslo = číslo slajdu → z neho bude &lt;img&gt; obrázok.</t>
  </si>
  <si>
    <t xml:space="preserve">Viac slajdov do jednej bunky: 15,16 (max 4). Rozsah 5-7 zvládne len appka.</t>
  </si>
  <si>
    <t xml:space="preserve">Text v bunke so slajdom (napr. 'pozri skriptá') ostane text.</t>
  </si>
  <si>
    <t xml:space="preserve">Žltý 'img base' = začiatok mena obrázkov (rovnaký ako pri exporte PDF → JPG).</t>
  </si>
  <si>
    <t xml:space="preserve">List '3 ANKI ALL-LECTURES' sa počíta sám: čísla slajdov → &lt;img&gt; HTML.</t>
  </si>
  <si>
    <t xml:space="preserve">Export: '3 ANKI ALL-LECTURES' → Uložiť ako CSV UTF-8 → import do Anki.</t>
  </si>
  <si>
    <t xml:space="preserve">Front</t>
  </si>
  <si>
    <t xml:space="preserve">Back</t>
  </si>
  <si>
    <t xml:space="preserve">Personal Notes</t>
  </si>
  <si>
    <t xml:space="preserve">Source</t>
  </si>
  <si>
    <t xml:space="preserve">Tags</t>
  </si>
  <si>
    <t xml:space="preserve">MU antikoagulanciá</t>
  </si>
  <si>
    <t xml:space="preserve">znižujú zrážanlivosť krvi, blokáda tvorby / účinku koagulačných faktorov</t>
  </si>
  <si>
    <t xml:space="preserve">12</t>
  </si>
  <si>
    <t xml:space="preserve">Pharmazie::PharmII::V01</t>
  </si>
  <si>
    <t xml:space="preserve">MU fibrinolytiká</t>
  </si>
  <si>
    <t xml:space="preserve">trombolytiká – rozpúšťajú existujúci trombus</t>
  </si>
  <si>
    <t xml:space="preserve">MU antiagreganciá</t>
  </si>
  <si>
    <t xml:space="preserve">bránia zhlukovaniu trombocytov</t>
  </si>
  <si>
    <t xml:space="preserve">MU heparín</t>
  </si>
  <si>
    <t xml:space="preserve">viaže sa na antitrombín III → inaktivácia trombínu (IIa) a f. Xa</t>
  </si>
  <si>
    <t xml:space="preserve">15</t>
  </si>
  <si>
    <t xml:space="preserve">UFH vs. LMWH – rozdiel v účinku</t>
  </si>
  <si>
    <t xml:space="preserve">LMWH (enoxaparín) pôsobí hlavne anti-Xa, menej na IIa</t>
  </si>
  <si>
    <t xml:space="preserve">Monitoring UFH</t>
  </si>
  <si>
    <t xml:space="preserve">aPTT</t>
  </si>
  <si>
    <t xml:space="preserve">Monitoring LMWH</t>
  </si>
  <si>
    <t xml:space="preserve">anti-Xa aktivita</t>
  </si>
  <si>
    <t xml:space="preserve">Antidotum heparínu</t>
  </si>
  <si>
    <t xml:space="preserve">protamín sulfát</t>
  </si>
  <si>
    <t xml:space="preserve">CESTA POD heparín</t>
  </si>
  <si>
    <t xml:space="preserve">i.v. alebo s.c. – NEvstrebáva sa z GIT</t>
  </si>
  <si>
    <t xml:space="preserve">16</t>
  </si>
  <si>
    <t xml:space="preserve">Nástup účinku heparínu</t>
  </si>
  <si>
    <t xml:space="preserve">i.v. okamžite, s.c. ~ 1–2 h</t>
  </si>
  <si>
    <t xml:space="preserve">NÚ heparínu</t>
  </si>
  <si>
    <t xml:space="preserve">krvácanie, HIT (heparínom indukovaná trombocytopénia)</t>
  </si>
  <si>
    <t xml:space="preserve">pozri skriptá str. 40</t>
  </si>
  <si>
    <t xml:space="preserve">Heparín v gravidite</t>
  </si>
  <si>
    <t xml:space="preserve">NEprechádza placentou → bezpečný</t>
  </si>
  <si>
    <t xml:space="preserve">Heparín – celý prehľad</t>
  </si>
  <si>
    <t xml:space="preserve">mechanizmus, monitoring, podanie, NÚ</t>
  </si>
  <si>
    <t xml:space="preserve">15,16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</si>
</sst>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2"/>
      <color rgb="FFAAAAAA"/>
      <name val="Arial"/>
      <family val="0"/>
      <charset val="1"/>
    </font>
    <font>
      <sz val="11"/>
      <color rgb="FFFFFFFF"/>
      <name val="Arial"/>
      <family val="0"/>
      <charset val="1"/>
    </font>
    <font>
      <u val="single"/>
      <sz val="11"/>
      <color rgb="FF8AB4F8"/>
      <name val="Arial"/>
      <family val="0"/>
      <charset val="1"/>
    </font>
    <font>
      <sz val="11"/>
      <color rgb="FFFFD966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11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55FF55"/>
      <name val="Arial"/>
      <family val="0"/>
      <charset val="1"/>
    </font>
    <font>
      <sz val="11"/>
      <color rgb="FFFF5555"/>
      <name val="Arial"/>
      <family val="0"/>
      <charset val="1"/>
    </font>
    <font>
      <sz val="11"/>
      <color rgb="FFAAAAAA"/>
      <name val="Arial"/>
      <family val="0"/>
      <charset val="1"/>
    </font>
    <font>
      <sz val="10"/>
      <name val="Arial"/>
      <family val="2"/>
    </font>
    <font>
      <sz val="9"/>
      <color rgb="FF55FF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222222"/>
      </patternFill>
    </fill>
    <fill>
      <patternFill patternType="solid">
        <fgColor rgb="FF222222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22222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5FF55"/>
          <bgColor rgb="FF000000"/>
        </patternFill>
      </fill>
    </dxf>
    <dxf>
      <fill>
        <patternFill patternType="solid">
          <fgColor rgb="FFFF5555"/>
          <bgColor rgb="FF000000"/>
        </patternFill>
      </fill>
    </dxf>
  </dxfs>
  <colors>
    <indexedColors>
      <rgbColor rgb="FF000000"/>
      <rgbColor rgb="FFFFFFFF"/>
      <rgbColor rgb="FFFF0000"/>
      <rgbColor rgb="FF55FF55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AB4F8"/>
      <rgbColor rgb="FFFF99CC"/>
      <rgbColor rgb="FFCC99FF"/>
      <rgbColor rgb="FFFFD966"/>
      <rgbColor rgb="FF4A90E2"/>
      <rgbColor rgb="FF33CCCC"/>
      <rgbColor rgb="FF99CC00"/>
      <rgbColor rgb="FFFFCC00"/>
      <rgbColor rgb="FFFF9900"/>
      <rgbColor rgb="FFFF5555"/>
      <rgbColor rgb="FF666699"/>
      <rgbColor rgb="FFAAAAAA"/>
      <rgbColor rgb="FF003366"/>
      <rgbColor rgb="FF339966"/>
      <rgbColor rgb="FF003300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3"/>
    <col collapsed="false" customWidth="true" hidden="false" outlineLevel="0" max="8" min="7" style="0" width="20"/>
    <col collapsed="false" customWidth="true" hidden="false" outlineLevel="0" max="9" min="9" style="0" width="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3" t="s">
        <v>6</v>
      </c>
      <c r="I1" s="4"/>
    </row>
    <row r="2" customFormat="false" ht="26.8" hidden="false" customHeight="false" outlineLevel="0" collapsed="false">
      <c r="A2" s="5" t="n">
        <v>1</v>
      </c>
      <c r="B2" s="5" t="s">
        <v>7</v>
      </c>
      <c r="C2" s="6" t="str">
        <f aca="false">HYPERLINK("#'V01'!A1","Link to V01")</f>
        <v>Link to V01</v>
      </c>
      <c r="D2" s="6" t="str">
        <f aca="false">HYPERLINK("V PharmII01.pdf","Open PDF of Vorlesung01")</f>
        <v>Open PDF of Vorlesung01</v>
      </c>
      <c r="E2" s="7" t="s">
        <v>8</v>
      </c>
      <c r="F2" s="2"/>
      <c r="G2" s="8" t="s">
        <v>9</v>
      </c>
      <c r="H2" s="8" t="s">
        <v>10</v>
      </c>
      <c r="I2" s="4"/>
    </row>
    <row r="3" customFormat="false" ht="15" hidden="false" customHeight="false" outlineLevel="0" collapsed="false">
      <c r="A3" s="5" t="n">
        <v>2</v>
      </c>
      <c r="B3" s="5" t="s">
        <v>11</v>
      </c>
      <c r="C3" s="9" t="s">
        <v>12</v>
      </c>
      <c r="D3" s="10"/>
      <c r="E3" s="10"/>
      <c r="F3" s="2"/>
      <c r="G3" s="2"/>
      <c r="H3" s="2"/>
      <c r="I3" s="4"/>
    </row>
    <row r="4" customFormat="false" ht="15" hidden="false" customHeight="false" outlineLevel="0" collapsed="false">
      <c r="A4" s="5" t="n">
        <v>3</v>
      </c>
      <c r="B4" s="5" t="s">
        <v>13</v>
      </c>
      <c r="C4" s="9" t="s">
        <v>12</v>
      </c>
      <c r="D4" s="10"/>
      <c r="E4" s="10"/>
      <c r="F4" s="2"/>
      <c r="G4" s="2"/>
      <c r="H4" s="2"/>
      <c r="I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A8" s="4"/>
      <c r="B8" s="11" t="s">
        <v>14</v>
      </c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A9" s="4"/>
      <c r="B9" s="12" t="s">
        <v>15</v>
      </c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4"/>
      <c r="B10" s="13" t="s">
        <v>16</v>
      </c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A11" s="4"/>
      <c r="B11" s="13" t="s">
        <v>17</v>
      </c>
      <c r="C11" s="4"/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4"/>
      <c r="B12" s="14" t="s">
        <v>18</v>
      </c>
      <c r="C12" s="4"/>
      <c r="D12" s="4"/>
      <c r="E12" s="4"/>
      <c r="F12" s="4"/>
      <c r="G12" s="4"/>
      <c r="H12" s="4"/>
      <c r="I12" s="4"/>
    </row>
    <row r="13" customFormat="false" ht="15" hidden="false" customHeight="false" outlineLevel="0" collapsed="false">
      <c r="A13" s="4"/>
      <c r="B13" s="15" t="s">
        <v>19</v>
      </c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4"/>
      <c r="B14" s="12" t="s">
        <v>20</v>
      </c>
      <c r="C14" s="4"/>
      <c r="D14" s="4"/>
      <c r="E14" s="4"/>
      <c r="F14" s="4"/>
      <c r="G14" s="4"/>
      <c r="H14" s="4"/>
      <c r="I14" s="4"/>
    </row>
    <row r="15" customFormat="false" ht="15" hidden="false" customHeight="false" outlineLevel="0" collapsed="false">
      <c r="A15" s="4"/>
      <c r="B15" s="16" t="s">
        <v>21</v>
      </c>
      <c r="C15" s="4"/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0E2"/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6"/>
  </cols>
  <sheetData>
    <row r="1" customFormat="false" ht="26.85" hidden="false" customHeight="false" outlineLevel="0" collapsed="false">
      <c r="A1" s="17" t="s">
        <v>22</v>
      </c>
      <c r="B1" s="17" t="s">
        <v>23</v>
      </c>
      <c r="C1" s="17" t="s">
        <v>24</v>
      </c>
      <c r="D1" s="17" t="s">
        <v>25</v>
      </c>
      <c r="E1" s="17" t="s">
        <v>26</v>
      </c>
      <c r="F1" s="4"/>
    </row>
    <row r="2" customFormat="false" ht="26.85" hidden="false" customHeight="false" outlineLevel="0" collapsed="false">
      <c r="A2" s="18" t="s">
        <v>27</v>
      </c>
      <c r="B2" s="18" t="s">
        <v>28</v>
      </c>
      <c r="C2" s="19"/>
      <c r="D2" s="20" t="s">
        <v>29</v>
      </c>
      <c r="E2" s="18" t="s">
        <v>30</v>
      </c>
      <c r="F2" s="4"/>
    </row>
    <row r="3" customFormat="false" ht="15" hidden="false" customHeight="false" outlineLevel="0" collapsed="false">
      <c r="A3" s="18" t="s">
        <v>31</v>
      </c>
      <c r="B3" s="18" t="s">
        <v>32</v>
      </c>
      <c r="C3" s="19"/>
      <c r="D3" s="20" t="s">
        <v>29</v>
      </c>
      <c r="E3" s="18" t="s">
        <v>30</v>
      </c>
      <c r="F3" s="4"/>
    </row>
    <row r="4" customFormat="false" ht="15" hidden="false" customHeight="false" outlineLevel="0" collapsed="false">
      <c r="A4" s="18" t="s">
        <v>33</v>
      </c>
      <c r="B4" s="18" t="s">
        <v>34</v>
      </c>
      <c r="C4" s="19"/>
      <c r="D4" s="20" t="s">
        <v>29</v>
      </c>
      <c r="E4" s="18" t="s">
        <v>30</v>
      </c>
      <c r="F4" s="4"/>
    </row>
    <row r="5" customFormat="false" ht="15" hidden="false" customHeight="false" outlineLevel="0" collapsed="false">
      <c r="A5" s="18" t="s">
        <v>35</v>
      </c>
      <c r="B5" s="18" t="s">
        <v>36</v>
      </c>
      <c r="C5" s="20" t="s">
        <v>37</v>
      </c>
      <c r="D5" s="20" t="s">
        <v>37</v>
      </c>
      <c r="E5" s="18" t="s">
        <v>30</v>
      </c>
      <c r="F5" s="4"/>
    </row>
    <row r="6" customFormat="false" ht="15" hidden="false" customHeight="false" outlineLevel="0" collapsed="false">
      <c r="A6" s="18" t="s">
        <v>38</v>
      </c>
      <c r="B6" s="18" t="s">
        <v>39</v>
      </c>
      <c r="C6" s="19"/>
      <c r="D6" s="20" t="s">
        <v>37</v>
      </c>
      <c r="E6" s="18" t="s">
        <v>30</v>
      </c>
      <c r="F6" s="4"/>
    </row>
    <row r="7" customFormat="false" ht="15" hidden="false" customHeight="false" outlineLevel="0" collapsed="false">
      <c r="A7" s="18" t="s">
        <v>40</v>
      </c>
      <c r="B7" s="18" t="s">
        <v>41</v>
      </c>
      <c r="C7" s="19"/>
      <c r="D7" s="20" t="s">
        <v>37</v>
      </c>
      <c r="E7" s="18" t="s">
        <v>30</v>
      </c>
      <c r="F7" s="4"/>
    </row>
    <row r="8" customFormat="false" ht="15" hidden="false" customHeight="false" outlineLevel="0" collapsed="false">
      <c r="A8" s="18" t="s">
        <v>42</v>
      </c>
      <c r="B8" s="18" t="s">
        <v>43</v>
      </c>
      <c r="C8" s="19"/>
      <c r="D8" s="20" t="s">
        <v>37</v>
      </c>
      <c r="E8" s="18" t="s">
        <v>30</v>
      </c>
      <c r="F8" s="4"/>
    </row>
    <row r="9" customFormat="false" ht="15" hidden="false" customHeight="false" outlineLevel="0" collapsed="false">
      <c r="A9" s="18" t="s">
        <v>44</v>
      </c>
      <c r="B9" s="18" t="s">
        <v>45</v>
      </c>
      <c r="C9" s="19"/>
      <c r="D9" s="20" t="s">
        <v>37</v>
      </c>
      <c r="E9" s="18" t="s">
        <v>30</v>
      </c>
      <c r="F9" s="4"/>
    </row>
    <row r="10" customFormat="false" ht="15" hidden="false" customHeight="false" outlineLevel="0" collapsed="false">
      <c r="A10" s="18" t="s">
        <v>46</v>
      </c>
      <c r="B10" s="18" t="s">
        <v>47</v>
      </c>
      <c r="C10" s="20" t="s">
        <v>48</v>
      </c>
      <c r="D10" s="20" t="s">
        <v>48</v>
      </c>
      <c r="E10" s="18" t="s">
        <v>30</v>
      </c>
      <c r="F10" s="4"/>
    </row>
    <row r="11" customFormat="false" ht="15" hidden="false" customHeight="false" outlineLevel="0" collapsed="false">
      <c r="A11" s="18" t="s">
        <v>49</v>
      </c>
      <c r="B11" s="18" t="s">
        <v>50</v>
      </c>
      <c r="C11" s="19"/>
      <c r="D11" s="20" t="s">
        <v>48</v>
      </c>
      <c r="E11" s="18" t="s">
        <v>30</v>
      </c>
      <c r="F11" s="4"/>
    </row>
    <row r="12" customFormat="false" ht="26.85" hidden="false" customHeight="false" outlineLevel="0" collapsed="false">
      <c r="A12" s="18" t="s">
        <v>51</v>
      </c>
      <c r="B12" s="18" t="s">
        <v>52</v>
      </c>
      <c r="C12" s="21" t="s">
        <v>53</v>
      </c>
      <c r="D12" s="20" t="s">
        <v>48</v>
      </c>
      <c r="E12" s="18" t="s">
        <v>30</v>
      </c>
      <c r="F12" s="4"/>
    </row>
    <row r="13" customFormat="false" ht="15" hidden="false" customHeight="false" outlineLevel="0" collapsed="false">
      <c r="A13" s="18" t="s">
        <v>54</v>
      </c>
      <c r="B13" s="18" t="s">
        <v>55</v>
      </c>
      <c r="C13" s="19"/>
      <c r="D13" s="20" t="s">
        <v>48</v>
      </c>
      <c r="E13" s="18" t="s">
        <v>30</v>
      </c>
      <c r="F13" s="4"/>
    </row>
    <row r="14" customFormat="false" ht="15" hidden="false" customHeight="false" outlineLevel="0" collapsed="false">
      <c r="A14" s="18" t="s">
        <v>56</v>
      </c>
      <c r="B14" s="18" t="s">
        <v>57</v>
      </c>
      <c r="C14" s="19"/>
      <c r="D14" s="20" t="s">
        <v>58</v>
      </c>
      <c r="E14" s="18" t="s">
        <v>30</v>
      </c>
      <c r="F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</row>
    <row r="16" customFormat="false" ht="15" hidden="false" customHeight="false" outlineLevel="0" collapsed="false">
      <c r="A16" s="22" t="str">
        <f aca="false">HYPERLINK("#'1 PREHĽAD'!A1","← späť na prehľad")</f>
        <v>← späť na prehľad</v>
      </c>
      <c r="B16" s="4"/>
      <c r="C16" s="4"/>
      <c r="D16" s="4"/>
      <c r="E16" s="4"/>
      <c r="F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</row>
  </sheetData>
  <autoFilter ref="A1:E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FF55"/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4" min="3" style="0" width="48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17" t="s">
        <v>22</v>
      </c>
      <c r="B1" s="17" t="s">
        <v>23</v>
      </c>
      <c r="C1" s="17" t="s">
        <v>24</v>
      </c>
      <c r="D1" s="17" t="s">
        <v>25</v>
      </c>
      <c r="E1" s="17" t="s">
        <v>26</v>
      </c>
      <c r="F1" s="4"/>
    </row>
    <row r="2" customFormat="false" ht="26.85" hidden="false" customHeight="false" outlineLevel="0" collapsed="false">
      <c r="A2" s="18" t="str">
        <f aca="false">IF(V01!A2="","",V01!A2)</f>
        <v>MU antikoagulanciá</v>
      </c>
      <c r="B2" s="18" t="str">
        <f aca="false">IF(V01!B2="","",V01!B2)</f>
        <v>znižujú zrážanlivosť krvi, blokáda tvorby / účinku koagulačných faktorov</v>
      </c>
      <c r="C2" s="23" t="str">
        <f aca="false">IF(V01!C2="","",IFERROR(IF(TRIM(MID(SUBSTITUTE(V01!C2,",",REPT(" ",99)),1,99))="","","&lt;img src="""&amp;'1 PREHĽAD'!$E$2&amp;"_S_"&amp;TEXT(VALUE(TRIM(MID(SUBSTITUTE(V01!C2,",",REPT(" ",99)),1,99))),"00")&amp;".jpg""&gt;")&amp;IF(TRIM(MID(SUBSTITUTE(V01!C2,",",REPT(" ",99)),100,99))="","","&lt;br&gt;"&amp;"&lt;img src="""&amp;'1 PREHĽAD'!$E$2&amp;"_S_"&amp;TEXT(VALUE(TRIM(MID(SUBSTITUTE(V01!C2,",",REPT(" ",99)),100,99))),"00")&amp;".jpg""&gt;")&amp;IF(TRIM(MID(SUBSTITUTE(V01!C2,",",REPT(" ",99)),199,99))="","","&lt;br&gt;"&amp;"&lt;img src="""&amp;'1 PREHĽAD'!$E$2&amp;"_S_"&amp;TEXT(VALUE(TRIM(MID(SUBSTITUTE(V01!C2,",",REPT(" ",99)),199,99))),"00")&amp;".jpg""&gt;")&amp;IF(TRIM(MID(SUBSTITUTE(V01!C2,",",REPT(" ",99)),298,99))="","","&lt;br&gt;"&amp;"&lt;img src="""&amp;'1 PREHĽAD'!$E$2&amp;"_S_"&amp;TEXT(VALUE(TRIM(MID(SUBSTITUTE(V01!C2,",",REPT(" ",99)),298,99))),"00")&amp;".jpg""&gt;"),V01!C2))</f>
        <v/>
      </c>
      <c r="D2" s="23" t="str">
        <f aca="false">IF(V01!D2="","",IFERROR(IF(TRIM(MID(SUBSTITUTE(V01!D2,",",REPT(" ",99)),1,99))="","","&lt;img src="""&amp;'1 PREHĽAD'!$E$2&amp;"_S_"&amp;TEXT(VALUE(TRIM(MID(SUBSTITUTE(V01!D2,",",REPT(" ",99)),1,99))),"00")&amp;".jpg""&gt;")&amp;IF(TRIM(MID(SUBSTITUTE(V01!D2,",",REPT(" ",99)),100,99))="","","&lt;br&gt;"&amp;"&lt;img src="""&amp;'1 PREHĽAD'!$E$2&amp;"_S_"&amp;TEXT(VALUE(TRIM(MID(SUBSTITUTE(V01!D2,",",REPT(" ",99)),100,99))),"00")&amp;".jpg""&gt;")&amp;IF(TRIM(MID(SUBSTITUTE(V01!D2,",",REPT(" ",99)),199,99))="","","&lt;br&gt;"&amp;"&lt;img src="""&amp;'1 PREHĽAD'!$E$2&amp;"_S_"&amp;TEXT(VALUE(TRIM(MID(SUBSTITUTE(V01!D2,",",REPT(" ",99)),199,99))),"00")&amp;".jpg""&gt;")&amp;IF(TRIM(MID(SUBSTITUTE(V01!D2,",",REPT(" ",99)),298,99))="","","&lt;br&gt;"&amp;"&lt;img src="""&amp;'1 PREHĽAD'!$E$2&amp;"_S_"&amp;TEXT(VALUE(TRIM(MID(SUBSTITUTE(V01!D2,",",REPT(" ",99)),298,99))),"00")&amp;".jpg""&gt;"),V01!D2))</f>
        <v>&lt;img src="PharmII_P_01_S_12.jpg"&gt;</v>
      </c>
      <c r="E2" s="18" t="str">
        <f aca="false">IF(V01!E2="","",V01!E2)</f>
        <v>Pharmazie::PharmII::V01</v>
      </c>
      <c r="F2" s="4"/>
    </row>
    <row r="3" customFormat="false" ht="15" hidden="false" customHeight="false" outlineLevel="0" collapsed="false">
      <c r="A3" s="18" t="str">
        <f aca="false">IF(V01!A3="","",V01!A3)</f>
        <v>MU fibrinolytiká</v>
      </c>
      <c r="B3" s="18" t="str">
        <f aca="false">IF(V01!B3="","",V01!B3)</f>
        <v>trombolytiká – rozpúšťajú existujúci trombus</v>
      </c>
      <c r="C3" s="23" t="str">
        <f aca="false">IF(V01!C3="","",IFERROR(IF(TRIM(MID(SUBSTITUTE(V01!C3,",",REPT(" ",99)),1,99))="","","&lt;img src="""&amp;'1 PREHĽAD'!$E$2&amp;"_S_"&amp;TEXT(VALUE(TRIM(MID(SUBSTITUTE(V01!C3,",",REPT(" ",99)),1,99))),"00")&amp;".jpg""&gt;")&amp;IF(TRIM(MID(SUBSTITUTE(V01!C3,",",REPT(" ",99)),100,99))="","","&lt;br&gt;"&amp;"&lt;img src="""&amp;'1 PREHĽAD'!$E$2&amp;"_S_"&amp;TEXT(VALUE(TRIM(MID(SUBSTITUTE(V01!C3,",",REPT(" ",99)),100,99))),"00")&amp;".jpg""&gt;")&amp;IF(TRIM(MID(SUBSTITUTE(V01!C3,",",REPT(" ",99)),199,99))="","","&lt;br&gt;"&amp;"&lt;img src="""&amp;'1 PREHĽAD'!$E$2&amp;"_S_"&amp;TEXT(VALUE(TRIM(MID(SUBSTITUTE(V01!C3,",",REPT(" ",99)),199,99))),"00")&amp;".jpg""&gt;")&amp;IF(TRIM(MID(SUBSTITUTE(V01!C3,",",REPT(" ",99)),298,99))="","","&lt;br&gt;"&amp;"&lt;img src="""&amp;'1 PREHĽAD'!$E$2&amp;"_S_"&amp;TEXT(VALUE(TRIM(MID(SUBSTITUTE(V01!C3,",",REPT(" ",99)),298,99))),"00")&amp;".jpg""&gt;"),V01!C3))</f>
        <v/>
      </c>
      <c r="D3" s="23" t="str">
        <f aca="false">IF(V01!D3="","",IFERROR(IF(TRIM(MID(SUBSTITUTE(V01!D3,",",REPT(" ",99)),1,99))="","","&lt;img src="""&amp;'1 PREHĽAD'!$E$2&amp;"_S_"&amp;TEXT(VALUE(TRIM(MID(SUBSTITUTE(V01!D3,",",REPT(" ",99)),1,99))),"00")&amp;".jpg""&gt;")&amp;IF(TRIM(MID(SUBSTITUTE(V01!D3,",",REPT(" ",99)),100,99))="","","&lt;br&gt;"&amp;"&lt;img src="""&amp;'1 PREHĽAD'!$E$2&amp;"_S_"&amp;TEXT(VALUE(TRIM(MID(SUBSTITUTE(V01!D3,",",REPT(" ",99)),100,99))),"00")&amp;".jpg""&gt;")&amp;IF(TRIM(MID(SUBSTITUTE(V01!D3,",",REPT(" ",99)),199,99))="","","&lt;br&gt;"&amp;"&lt;img src="""&amp;'1 PREHĽAD'!$E$2&amp;"_S_"&amp;TEXT(VALUE(TRIM(MID(SUBSTITUTE(V01!D3,",",REPT(" ",99)),199,99))),"00")&amp;".jpg""&gt;")&amp;IF(TRIM(MID(SUBSTITUTE(V01!D3,",",REPT(" ",99)),298,99))="","","&lt;br&gt;"&amp;"&lt;img src="""&amp;'1 PREHĽAD'!$E$2&amp;"_S_"&amp;TEXT(VALUE(TRIM(MID(SUBSTITUTE(V01!D3,",",REPT(" ",99)),298,99))),"00")&amp;".jpg""&gt;"),V01!D3))</f>
        <v>&lt;img src="PharmII_P_01_S_12.jpg"&gt;</v>
      </c>
      <c r="E3" s="18" t="str">
        <f aca="false">IF(V01!E3="","",V01!E3)</f>
        <v>Pharmazie::PharmII::V01</v>
      </c>
      <c r="F3" s="4"/>
    </row>
    <row r="4" customFormat="false" ht="15" hidden="false" customHeight="false" outlineLevel="0" collapsed="false">
      <c r="A4" s="18" t="str">
        <f aca="false">IF(V01!A4="","",V01!A4)</f>
        <v>MU antiagreganciá</v>
      </c>
      <c r="B4" s="18" t="str">
        <f aca="false">IF(V01!B4="","",V01!B4)</f>
        <v>bránia zhlukovaniu trombocytov</v>
      </c>
      <c r="C4" s="23" t="str">
        <f aca="false">IF(V01!C4="","",IFERROR(IF(TRIM(MID(SUBSTITUTE(V01!C4,",",REPT(" ",99)),1,99))="","","&lt;img src="""&amp;'1 PREHĽAD'!$E$2&amp;"_S_"&amp;TEXT(VALUE(TRIM(MID(SUBSTITUTE(V01!C4,",",REPT(" ",99)),1,99))),"00")&amp;".jpg""&gt;")&amp;IF(TRIM(MID(SUBSTITUTE(V01!C4,",",REPT(" ",99)),100,99))="","","&lt;br&gt;"&amp;"&lt;img src="""&amp;'1 PREHĽAD'!$E$2&amp;"_S_"&amp;TEXT(VALUE(TRIM(MID(SUBSTITUTE(V01!C4,",",REPT(" ",99)),100,99))),"00")&amp;".jpg""&gt;")&amp;IF(TRIM(MID(SUBSTITUTE(V01!C4,",",REPT(" ",99)),199,99))="","","&lt;br&gt;"&amp;"&lt;img src="""&amp;'1 PREHĽAD'!$E$2&amp;"_S_"&amp;TEXT(VALUE(TRIM(MID(SUBSTITUTE(V01!C4,",",REPT(" ",99)),199,99))),"00")&amp;".jpg""&gt;")&amp;IF(TRIM(MID(SUBSTITUTE(V01!C4,",",REPT(" ",99)),298,99))="","","&lt;br&gt;"&amp;"&lt;img src="""&amp;'1 PREHĽAD'!$E$2&amp;"_S_"&amp;TEXT(VALUE(TRIM(MID(SUBSTITUTE(V01!C4,",",REPT(" ",99)),298,99))),"00")&amp;".jpg""&gt;"),V01!C4))</f>
        <v/>
      </c>
      <c r="D4" s="23" t="str">
        <f aca="false">IF(V01!D4="","",IFERROR(IF(TRIM(MID(SUBSTITUTE(V01!D4,",",REPT(" ",99)),1,99))="","","&lt;img src="""&amp;'1 PREHĽAD'!$E$2&amp;"_S_"&amp;TEXT(VALUE(TRIM(MID(SUBSTITUTE(V01!D4,",",REPT(" ",99)),1,99))),"00")&amp;".jpg""&gt;")&amp;IF(TRIM(MID(SUBSTITUTE(V01!D4,",",REPT(" ",99)),100,99))="","","&lt;br&gt;"&amp;"&lt;img src="""&amp;'1 PREHĽAD'!$E$2&amp;"_S_"&amp;TEXT(VALUE(TRIM(MID(SUBSTITUTE(V01!D4,",",REPT(" ",99)),100,99))),"00")&amp;".jpg""&gt;")&amp;IF(TRIM(MID(SUBSTITUTE(V01!D4,",",REPT(" ",99)),199,99))="","","&lt;br&gt;"&amp;"&lt;img src="""&amp;'1 PREHĽAD'!$E$2&amp;"_S_"&amp;TEXT(VALUE(TRIM(MID(SUBSTITUTE(V01!D4,",",REPT(" ",99)),199,99))),"00")&amp;".jpg""&gt;")&amp;IF(TRIM(MID(SUBSTITUTE(V01!D4,",",REPT(" ",99)),298,99))="","","&lt;br&gt;"&amp;"&lt;img src="""&amp;'1 PREHĽAD'!$E$2&amp;"_S_"&amp;TEXT(VALUE(TRIM(MID(SUBSTITUTE(V01!D4,",",REPT(" ",99)),298,99))),"00")&amp;".jpg""&gt;"),V01!D4))</f>
        <v>&lt;img src="PharmII_P_01_S_12.jpg"&gt;</v>
      </c>
      <c r="E4" s="18" t="str">
        <f aca="false">IF(V01!E4="","",V01!E4)</f>
        <v>Pharmazie::PharmII::V01</v>
      </c>
      <c r="F4" s="4"/>
    </row>
    <row r="5" customFormat="false" ht="15" hidden="false" customHeight="false" outlineLevel="0" collapsed="false">
      <c r="A5" s="18" t="str">
        <f aca="false">IF(V01!A5="","",V01!A5)</f>
        <v>MU heparín</v>
      </c>
      <c r="B5" s="18" t="str">
        <f aca="false">IF(V01!B5="","",V01!B5)</f>
        <v>viaže sa na antitrombín III → inaktivácia trombínu (IIa) a f. Xa</v>
      </c>
      <c r="C5" s="23" t="str">
        <f aca="false">IF(V01!C5="","",IFERROR(IF(TRIM(MID(SUBSTITUTE(V01!C5,",",REPT(" ",99)),1,99))="","","&lt;img src="""&amp;'1 PREHĽAD'!$E$2&amp;"_S_"&amp;TEXT(VALUE(TRIM(MID(SUBSTITUTE(V01!C5,",",REPT(" ",99)),1,99))),"00")&amp;".jpg""&gt;")&amp;IF(TRIM(MID(SUBSTITUTE(V01!C5,",",REPT(" ",99)),100,99))="","","&lt;br&gt;"&amp;"&lt;img src="""&amp;'1 PREHĽAD'!$E$2&amp;"_S_"&amp;TEXT(VALUE(TRIM(MID(SUBSTITUTE(V01!C5,",",REPT(" ",99)),100,99))),"00")&amp;".jpg""&gt;")&amp;IF(TRIM(MID(SUBSTITUTE(V01!C5,",",REPT(" ",99)),199,99))="","","&lt;br&gt;"&amp;"&lt;img src="""&amp;'1 PREHĽAD'!$E$2&amp;"_S_"&amp;TEXT(VALUE(TRIM(MID(SUBSTITUTE(V01!C5,",",REPT(" ",99)),199,99))),"00")&amp;".jpg""&gt;")&amp;IF(TRIM(MID(SUBSTITUTE(V01!C5,",",REPT(" ",99)),298,99))="","","&lt;br&gt;"&amp;"&lt;img src="""&amp;'1 PREHĽAD'!$E$2&amp;"_S_"&amp;TEXT(VALUE(TRIM(MID(SUBSTITUTE(V01!C5,",",REPT(" ",99)),298,99))),"00")&amp;".jpg""&gt;"),V01!C5))</f>
        <v>&lt;img src="PharmII_P_01_S_15.jpg"&gt;</v>
      </c>
      <c r="D5" s="23" t="str">
        <f aca="false">IF(V01!D5="","",IFERROR(IF(TRIM(MID(SUBSTITUTE(V01!D5,",",REPT(" ",99)),1,99))="","","&lt;img src="""&amp;'1 PREHĽAD'!$E$2&amp;"_S_"&amp;TEXT(VALUE(TRIM(MID(SUBSTITUTE(V01!D5,",",REPT(" ",99)),1,99))),"00")&amp;".jpg""&gt;")&amp;IF(TRIM(MID(SUBSTITUTE(V01!D5,",",REPT(" ",99)),100,99))="","","&lt;br&gt;"&amp;"&lt;img src="""&amp;'1 PREHĽAD'!$E$2&amp;"_S_"&amp;TEXT(VALUE(TRIM(MID(SUBSTITUTE(V01!D5,",",REPT(" ",99)),100,99))),"00")&amp;".jpg""&gt;")&amp;IF(TRIM(MID(SUBSTITUTE(V01!D5,",",REPT(" ",99)),199,99))="","","&lt;br&gt;"&amp;"&lt;img src="""&amp;'1 PREHĽAD'!$E$2&amp;"_S_"&amp;TEXT(VALUE(TRIM(MID(SUBSTITUTE(V01!D5,",",REPT(" ",99)),199,99))),"00")&amp;".jpg""&gt;")&amp;IF(TRIM(MID(SUBSTITUTE(V01!D5,",",REPT(" ",99)),298,99))="","","&lt;br&gt;"&amp;"&lt;img src="""&amp;'1 PREHĽAD'!$E$2&amp;"_S_"&amp;TEXT(VALUE(TRIM(MID(SUBSTITUTE(V01!D5,",",REPT(" ",99)),298,99))),"00")&amp;".jpg""&gt;"),V01!D5))</f>
        <v>&lt;img src="PharmII_P_01_S_15.jpg"&gt;</v>
      </c>
      <c r="E5" s="18" t="str">
        <f aca="false">IF(V01!E5="","",V01!E5)</f>
        <v>Pharmazie::PharmII::V01</v>
      </c>
      <c r="F5" s="4"/>
    </row>
    <row r="6" customFormat="false" ht="15" hidden="false" customHeight="false" outlineLevel="0" collapsed="false">
      <c r="A6" s="18" t="str">
        <f aca="false">IF(V01!A6="","",V01!A6)</f>
        <v>UFH vs. LMWH – rozdiel v účinku</v>
      </c>
      <c r="B6" s="18" t="str">
        <f aca="false">IF(V01!B6="","",V01!B6)</f>
        <v>LMWH (enoxaparín) pôsobí hlavne anti-Xa, menej na IIa</v>
      </c>
      <c r="C6" s="23" t="str">
        <f aca="false">IF(V01!C6="","",IFERROR(IF(TRIM(MID(SUBSTITUTE(V01!C6,",",REPT(" ",99)),1,99))="","","&lt;img src="""&amp;'1 PREHĽAD'!$E$2&amp;"_S_"&amp;TEXT(VALUE(TRIM(MID(SUBSTITUTE(V01!C6,",",REPT(" ",99)),1,99))),"00")&amp;".jpg""&gt;")&amp;IF(TRIM(MID(SUBSTITUTE(V01!C6,",",REPT(" ",99)),100,99))="","","&lt;br&gt;"&amp;"&lt;img src="""&amp;'1 PREHĽAD'!$E$2&amp;"_S_"&amp;TEXT(VALUE(TRIM(MID(SUBSTITUTE(V01!C6,",",REPT(" ",99)),100,99))),"00")&amp;".jpg""&gt;")&amp;IF(TRIM(MID(SUBSTITUTE(V01!C6,",",REPT(" ",99)),199,99))="","","&lt;br&gt;"&amp;"&lt;img src="""&amp;'1 PREHĽAD'!$E$2&amp;"_S_"&amp;TEXT(VALUE(TRIM(MID(SUBSTITUTE(V01!C6,",",REPT(" ",99)),199,99))),"00")&amp;".jpg""&gt;")&amp;IF(TRIM(MID(SUBSTITUTE(V01!C6,",",REPT(" ",99)),298,99))="","","&lt;br&gt;"&amp;"&lt;img src="""&amp;'1 PREHĽAD'!$E$2&amp;"_S_"&amp;TEXT(VALUE(TRIM(MID(SUBSTITUTE(V01!C6,",",REPT(" ",99)),298,99))),"00")&amp;".jpg""&gt;"),V01!C6))</f>
        <v/>
      </c>
      <c r="D6" s="23" t="str">
        <f aca="false">IF(V01!D6="","",IFERROR(IF(TRIM(MID(SUBSTITUTE(V01!D6,",",REPT(" ",99)),1,99))="","","&lt;img src="""&amp;'1 PREHĽAD'!$E$2&amp;"_S_"&amp;TEXT(VALUE(TRIM(MID(SUBSTITUTE(V01!D6,",",REPT(" ",99)),1,99))),"00")&amp;".jpg""&gt;")&amp;IF(TRIM(MID(SUBSTITUTE(V01!D6,",",REPT(" ",99)),100,99))="","","&lt;br&gt;"&amp;"&lt;img src="""&amp;'1 PREHĽAD'!$E$2&amp;"_S_"&amp;TEXT(VALUE(TRIM(MID(SUBSTITUTE(V01!D6,",",REPT(" ",99)),100,99))),"00")&amp;".jpg""&gt;")&amp;IF(TRIM(MID(SUBSTITUTE(V01!D6,",",REPT(" ",99)),199,99))="","","&lt;br&gt;"&amp;"&lt;img src="""&amp;'1 PREHĽAD'!$E$2&amp;"_S_"&amp;TEXT(VALUE(TRIM(MID(SUBSTITUTE(V01!D6,",",REPT(" ",99)),199,99))),"00")&amp;".jpg""&gt;")&amp;IF(TRIM(MID(SUBSTITUTE(V01!D6,",",REPT(" ",99)),298,99))="","","&lt;br&gt;"&amp;"&lt;img src="""&amp;'1 PREHĽAD'!$E$2&amp;"_S_"&amp;TEXT(VALUE(TRIM(MID(SUBSTITUTE(V01!D6,",",REPT(" ",99)),298,99))),"00")&amp;".jpg""&gt;"),V01!D6))</f>
        <v>&lt;img src="PharmII_P_01_S_15.jpg"&gt;</v>
      </c>
      <c r="E6" s="18" t="str">
        <f aca="false">IF(V01!E6="","",V01!E6)</f>
        <v>Pharmazie::PharmII::V01</v>
      </c>
      <c r="F6" s="4"/>
    </row>
    <row r="7" customFormat="false" ht="15" hidden="false" customHeight="false" outlineLevel="0" collapsed="false">
      <c r="A7" s="18" t="str">
        <f aca="false">IF(V01!A7="","",V01!A7)</f>
        <v>Monitoring UFH</v>
      </c>
      <c r="B7" s="18" t="str">
        <f aca="false">IF(V01!B7="","",V01!B7)</f>
        <v>aPTT</v>
      </c>
      <c r="C7" s="23" t="str">
        <f aca="false">IF(V01!C7="","",IFERROR(IF(TRIM(MID(SUBSTITUTE(V01!C7,",",REPT(" ",99)),1,99))="","","&lt;img src="""&amp;'1 PREHĽAD'!$E$2&amp;"_S_"&amp;TEXT(VALUE(TRIM(MID(SUBSTITUTE(V01!C7,",",REPT(" ",99)),1,99))),"00")&amp;".jpg""&gt;")&amp;IF(TRIM(MID(SUBSTITUTE(V01!C7,",",REPT(" ",99)),100,99))="","","&lt;br&gt;"&amp;"&lt;img src="""&amp;'1 PREHĽAD'!$E$2&amp;"_S_"&amp;TEXT(VALUE(TRIM(MID(SUBSTITUTE(V01!C7,",",REPT(" ",99)),100,99))),"00")&amp;".jpg""&gt;")&amp;IF(TRIM(MID(SUBSTITUTE(V01!C7,",",REPT(" ",99)),199,99))="","","&lt;br&gt;"&amp;"&lt;img src="""&amp;'1 PREHĽAD'!$E$2&amp;"_S_"&amp;TEXT(VALUE(TRIM(MID(SUBSTITUTE(V01!C7,",",REPT(" ",99)),199,99))),"00")&amp;".jpg""&gt;")&amp;IF(TRIM(MID(SUBSTITUTE(V01!C7,",",REPT(" ",99)),298,99))="","","&lt;br&gt;"&amp;"&lt;img src="""&amp;'1 PREHĽAD'!$E$2&amp;"_S_"&amp;TEXT(VALUE(TRIM(MID(SUBSTITUTE(V01!C7,",",REPT(" ",99)),298,99))),"00")&amp;".jpg""&gt;"),V01!C7))</f>
        <v/>
      </c>
      <c r="D7" s="23" t="str">
        <f aca="false">IF(V01!D7="","",IFERROR(IF(TRIM(MID(SUBSTITUTE(V01!D7,",",REPT(" ",99)),1,99))="","","&lt;img src="""&amp;'1 PREHĽAD'!$E$2&amp;"_S_"&amp;TEXT(VALUE(TRIM(MID(SUBSTITUTE(V01!D7,",",REPT(" ",99)),1,99))),"00")&amp;".jpg""&gt;")&amp;IF(TRIM(MID(SUBSTITUTE(V01!D7,",",REPT(" ",99)),100,99))="","","&lt;br&gt;"&amp;"&lt;img src="""&amp;'1 PREHĽAD'!$E$2&amp;"_S_"&amp;TEXT(VALUE(TRIM(MID(SUBSTITUTE(V01!D7,",",REPT(" ",99)),100,99))),"00")&amp;".jpg""&gt;")&amp;IF(TRIM(MID(SUBSTITUTE(V01!D7,",",REPT(" ",99)),199,99))="","","&lt;br&gt;"&amp;"&lt;img src="""&amp;'1 PREHĽAD'!$E$2&amp;"_S_"&amp;TEXT(VALUE(TRIM(MID(SUBSTITUTE(V01!D7,",",REPT(" ",99)),199,99))),"00")&amp;".jpg""&gt;")&amp;IF(TRIM(MID(SUBSTITUTE(V01!D7,",",REPT(" ",99)),298,99))="","","&lt;br&gt;"&amp;"&lt;img src="""&amp;'1 PREHĽAD'!$E$2&amp;"_S_"&amp;TEXT(VALUE(TRIM(MID(SUBSTITUTE(V01!D7,",",REPT(" ",99)),298,99))),"00")&amp;".jpg""&gt;"),V01!D7))</f>
        <v>&lt;img src="PharmII_P_01_S_15.jpg"&gt;</v>
      </c>
      <c r="E7" s="18" t="str">
        <f aca="false">IF(V01!E7="","",V01!E7)</f>
        <v>Pharmazie::PharmII::V01</v>
      </c>
      <c r="F7" s="4"/>
    </row>
    <row r="8" customFormat="false" ht="15" hidden="false" customHeight="false" outlineLevel="0" collapsed="false">
      <c r="A8" s="18" t="str">
        <f aca="false">IF(V01!A8="","",V01!A8)</f>
        <v>Monitoring LMWH</v>
      </c>
      <c r="B8" s="18" t="str">
        <f aca="false">IF(V01!B8="","",V01!B8)</f>
        <v>anti-Xa aktivita</v>
      </c>
      <c r="C8" s="23" t="str">
        <f aca="false">IF(V01!C8="","",IFERROR(IF(TRIM(MID(SUBSTITUTE(V01!C8,",",REPT(" ",99)),1,99))="","","&lt;img src="""&amp;'1 PREHĽAD'!$E$2&amp;"_S_"&amp;TEXT(VALUE(TRIM(MID(SUBSTITUTE(V01!C8,",",REPT(" ",99)),1,99))),"00")&amp;".jpg""&gt;")&amp;IF(TRIM(MID(SUBSTITUTE(V01!C8,",",REPT(" ",99)),100,99))="","","&lt;br&gt;"&amp;"&lt;img src="""&amp;'1 PREHĽAD'!$E$2&amp;"_S_"&amp;TEXT(VALUE(TRIM(MID(SUBSTITUTE(V01!C8,",",REPT(" ",99)),100,99))),"00")&amp;".jpg""&gt;")&amp;IF(TRIM(MID(SUBSTITUTE(V01!C8,",",REPT(" ",99)),199,99))="","","&lt;br&gt;"&amp;"&lt;img src="""&amp;'1 PREHĽAD'!$E$2&amp;"_S_"&amp;TEXT(VALUE(TRIM(MID(SUBSTITUTE(V01!C8,",",REPT(" ",99)),199,99))),"00")&amp;".jpg""&gt;")&amp;IF(TRIM(MID(SUBSTITUTE(V01!C8,",",REPT(" ",99)),298,99))="","","&lt;br&gt;"&amp;"&lt;img src="""&amp;'1 PREHĽAD'!$E$2&amp;"_S_"&amp;TEXT(VALUE(TRIM(MID(SUBSTITUTE(V01!C8,",",REPT(" ",99)),298,99))),"00")&amp;".jpg""&gt;"),V01!C8))</f>
        <v/>
      </c>
      <c r="D8" s="23" t="str">
        <f aca="false">IF(V01!D8="","",IFERROR(IF(TRIM(MID(SUBSTITUTE(V01!D8,",",REPT(" ",99)),1,99))="","","&lt;img src="""&amp;'1 PREHĽAD'!$E$2&amp;"_S_"&amp;TEXT(VALUE(TRIM(MID(SUBSTITUTE(V01!D8,",",REPT(" ",99)),1,99))),"00")&amp;".jpg""&gt;")&amp;IF(TRIM(MID(SUBSTITUTE(V01!D8,",",REPT(" ",99)),100,99))="","","&lt;br&gt;"&amp;"&lt;img src="""&amp;'1 PREHĽAD'!$E$2&amp;"_S_"&amp;TEXT(VALUE(TRIM(MID(SUBSTITUTE(V01!D8,",",REPT(" ",99)),100,99))),"00")&amp;".jpg""&gt;")&amp;IF(TRIM(MID(SUBSTITUTE(V01!D8,",",REPT(" ",99)),199,99))="","","&lt;br&gt;"&amp;"&lt;img src="""&amp;'1 PREHĽAD'!$E$2&amp;"_S_"&amp;TEXT(VALUE(TRIM(MID(SUBSTITUTE(V01!D8,",",REPT(" ",99)),199,99))),"00")&amp;".jpg""&gt;")&amp;IF(TRIM(MID(SUBSTITUTE(V01!D8,",",REPT(" ",99)),298,99))="","","&lt;br&gt;"&amp;"&lt;img src="""&amp;'1 PREHĽAD'!$E$2&amp;"_S_"&amp;TEXT(VALUE(TRIM(MID(SUBSTITUTE(V01!D8,",",REPT(" ",99)),298,99))),"00")&amp;".jpg""&gt;"),V01!D8))</f>
        <v>&lt;img src="PharmII_P_01_S_15.jpg"&gt;</v>
      </c>
      <c r="E8" s="18" t="str">
        <f aca="false">IF(V01!E8="","",V01!E8)</f>
        <v>Pharmazie::PharmII::V01</v>
      </c>
      <c r="F8" s="4"/>
    </row>
    <row r="9" customFormat="false" ht="15" hidden="false" customHeight="false" outlineLevel="0" collapsed="false">
      <c r="A9" s="18" t="str">
        <f aca="false">IF(V01!A9="","",V01!A9)</f>
        <v>Antidotum heparínu</v>
      </c>
      <c r="B9" s="18" t="str">
        <f aca="false">IF(V01!B9="","",V01!B9)</f>
        <v>protamín sulfát</v>
      </c>
      <c r="C9" s="23" t="str">
        <f aca="false">IF(V01!C9="","",IFERROR(IF(TRIM(MID(SUBSTITUTE(V01!C9,",",REPT(" ",99)),1,99))="","","&lt;img src="""&amp;'1 PREHĽAD'!$E$2&amp;"_S_"&amp;TEXT(VALUE(TRIM(MID(SUBSTITUTE(V01!C9,",",REPT(" ",99)),1,99))),"00")&amp;".jpg""&gt;")&amp;IF(TRIM(MID(SUBSTITUTE(V01!C9,",",REPT(" ",99)),100,99))="","","&lt;br&gt;"&amp;"&lt;img src="""&amp;'1 PREHĽAD'!$E$2&amp;"_S_"&amp;TEXT(VALUE(TRIM(MID(SUBSTITUTE(V01!C9,",",REPT(" ",99)),100,99))),"00")&amp;".jpg""&gt;")&amp;IF(TRIM(MID(SUBSTITUTE(V01!C9,",",REPT(" ",99)),199,99))="","","&lt;br&gt;"&amp;"&lt;img src="""&amp;'1 PREHĽAD'!$E$2&amp;"_S_"&amp;TEXT(VALUE(TRIM(MID(SUBSTITUTE(V01!C9,",",REPT(" ",99)),199,99))),"00")&amp;".jpg""&gt;")&amp;IF(TRIM(MID(SUBSTITUTE(V01!C9,",",REPT(" ",99)),298,99))="","","&lt;br&gt;"&amp;"&lt;img src="""&amp;'1 PREHĽAD'!$E$2&amp;"_S_"&amp;TEXT(VALUE(TRIM(MID(SUBSTITUTE(V01!C9,",",REPT(" ",99)),298,99))),"00")&amp;".jpg""&gt;"),V01!C9))</f>
        <v/>
      </c>
      <c r="D9" s="23" t="str">
        <f aca="false">IF(V01!D9="","",IFERROR(IF(TRIM(MID(SUBSTITUTE(V01!D9,",",REPT(" ",99)),1,99))="","","&lt;img src="""&amp;'1 PREHĽAD'!$E$2&amp;"_S_"&amp;TEXT(VALUE(TRIM(MID(SUBSTITUTE(V01!D9,",",REPT(" ",99)),1,99))),"00")&amp;".jpg""&gt;")&amp;IF(TRIM(MID(SUBSTITUTE(V01!D9,",",REPT(" ",99)),100,99))="","","&lt;br&gt;"&amp;"&lt;img src="""&amp;'1 PREHĽAD'!$E$2&amp;"_S_"&amp;TEXT(VALUE(TRIM(MID(SUBSTITUTE(V01!D9,",",REPT(" ",99)),100,99))),"00")&amp;".jpg""&gt;")&amp;IF(TRIM(MID(SUBSTITUTE(V01!D9,",",REPT(" ",99)),199,99))="","","&lt;br&gt;"&amp;"&lt;img src="""&amp;'1 PREHĽAD'!$E$2&amp;"_S_"&amp;TEXT(VALUE(TRIM(MID(SUBSTITUTE(V01!D9,",",REPT(" ",99)),199,99))),"00")&amp;".jpg""&gt;")&amp;IF(TRIM(MID(SUBSTITUTE(V01!D9,",",REPT(" ",99)),298,99))="","","&lt;br&gt;"&amp;"&lt;img src="""&amp;'1 PREHĽAD'!$E$2&amp;"_S_"&amp;TEXT(VALUE(TRIM(MID(SUBSTITUTE(V01!D9,",",REPT(" ",99)),298,99))),"00")&amp;".jpg""&gt;"),V01!D9))</f>
        <v>&lt;img src="PharmII_P_01_S_15.jpg"&gt;</v>
      </c>
      <c r="E9" s="18" t="str">
        <f aca="false">IF(V01!E9="","",V01!E9)</f>
        <v>Pharmazie::PharmII::V01</v>
      </c>
      <c r="F9" s="4"/>
    </row>
    <row r="10" customFormat="false" ht="15" hidden="false" customHeight="false" outlineLevel="0" collapsed="false">
      <c r="A10" s="18" t="str">
        <f aca="false">IF(V01!A10="","",V01!A10)</f>
        <v>CESTA POD heparín</v>
      </c>
      <c r="B10" s="18" t="str">
        <f aca="false">IF(V01!B10="","",V01!B10)</f>
        <v>i.v. alebo s.c. – NEvstrebáva sa z GIT</v>
      </c>
      <c r="C10" s="23" t="str">
        <f aca="false">IF(V01!C10="","",IFERROR(IF(TRIM(MID(SUBSTITUTE(V01!C10,",",REPT(" ",99)),1,99))="","","&lt;img src="""&amp;'1 PREHĽAD'!$E$2&amp;"_S_"&amp;TEXT(VALUE(TRIM(MID(SUBSTITUTE(V01!C10,",",REPT(" ",99)),1,99))),"00")&amp;".jpg""&gt;")&amp;IF(TRIM(MID(SUBSTITUTE(V01!C10,",",REPT(" ",99)),100,99))="","","&lt;br&gt;"&amp;"&lt;img src="""&amp;'1 PREHĽAD'!$E$2&amp;"_S_"&amp;TEXT(VALUE(TRIM(MID(SUBSTITUTE(V01!C10,",",REPT(" ",99)),100,99))),"00")&amp;".jpg""&gt;")&amp;IF(TRIM(MID(SUBSTITUTE(V01!C10,",",REPT(" ",99)),199,99))="","","&lt;br&gt;"&amp;"&lt;img src="""&amp;'1 PREHĽAD'!$E$2&amp;"_S_"&amp;TEXT(VALUE(TRIM(MID(SUBSTITUTE(V01!C10,",",REPT(" ",99)),199,99))),"00")&amp;".jpg""&gt;")&amp;IF(TRIM(MID(SUBSTITUTE(V01!C10,",",REPT(" ",99)),298,99))="","","&lt;br&gt;"&amp;"&lt;img src="""&amp;'1 PREHĽAD'!$E$2&amp;"_S_"&amp;TEXT(VALUE(TRIM(MID(SUBSTITUTE(V01!C10,",",REPT(" ",99)),298,99))),"00")&amp;".jpg""&gt;"),V01!C10))</f>
        <v>&lt;img src="PharmII_P_01_S_16.jpg"&gt;</v>
      </c>
      <c r="D10" s="23" t="str">
        <f aca="false">IF(V01!D10="","",IFERROR(IF(TRIM(MID(SUBSTITUTE(V01!D10,",",REPT(" ",99)),1,99))="","","&lt;img src="""&amp;'1 PREHĽAD'!$E$2&amp;"_S_"&amp;TEXT(VALUE(TRIM(MID(SUBSTITUTE(V01!D10,",",REPT(" ",99)),1,99))),"00")&amp;".jpg""&gt;")&amp;IF(TRIM(MID(SUBSTITUTE(V01!D10,",",REPT(" ",99)),100,99))="","","&lt;br&gt;"&amp;"&lt;img src="""&amp;'1 PREHĽAD'!$E$2&amp;"_S_"&amp;TEXT(VALUE(TRIM(MID(SUBSTITUTE(V01!D10,",",REPT(" ",99)),100,99))),"00")&amp;".jpg""&gt;")&amp;IF(TRIM(MID(SUBSTITUTE(V01!D10,",",REPT(" ",99)),199,99))="","","&lt;br&gt;"&amp;"&lt;img src="""&amp;'1 PREHĽAD'!$E$2&amp;"_S_"&amp;TEXT(VALUE(TRIM(MID(SUBSTITUTE(V01!D10,",",REPT(" ",99)),199,99))),"00")&amp;".jpg""&gt;")&amp;IF(TRIM(MID(SUBSTITUTE(V01!D10,",",REPT(" ",99)),298,99))="","","&lt;br&gt;"&amp;"&lt;img src="""&amp;'1 PREHĽAD'!$E$2&amp;"_S_"&amp;TEXT(VALUE(TRIM(MID(SUBSTITUTE(V01!D10,",",REPT(" ",99)),298,99))),"00")&amp;".jpg""&gt;"),V01!D10))</f>
        <v>&lt;img src="PharmII_P_01_S_16.jpg"&gt;</v>
      </c>
      <c r="E10" s="18" t="str">
        <f aca="false">IF(V01!E10="","",V01!E10)</f>
        <v>Pharmazie::PharmII::V01</v>
      </c>
      <c r="F10" s="4"/>
    </row>
    <row r="11" customFormat="false" ht="15" hidden="false" customHeight="false" outlineLevel="0" collapsed="false">
      <c r="A11" s="18" t="str">
        <f aca="false">IF(V01!A11="","",V01!A11)</f>
        <v>Nástup účinku heparínu</v>
      </c>
      <c r="B11" s="18" t="str">
        <f aca="false">IF(V01!B11="","",V01!B11)</f>
        <v>i.v. okamžite, s.c. ~ 1–2 h</v>
      </c>
      <c r="C11" s="23" t="str">
        <f aca="false">IF(V01!C11="","",IFERROR(IF(TRIM(MID(SUBSTITUTE(V01!C11,",",REPT(" ",99)),1,99))="","","&lt;img src="""&amp;'1 PREHĽAD'!$E$2&amp;"_S_"&amp;TEXT(VALUE(TRIM(MID(SUBSTITUTE(V01!C11,",",REPT(" ",99)),1,99))),"00")&amp;".jpg""&gt;")&amp;IF(TRIM(MID(SUBSTITUTE(V01!C11,",",REPT(" ",99)),100,99))="","","&lt;br&gt;"&amp;"&lt;img src="""&amp;'1 PREHĽAD'!$E$2&amp;"_S_"&amp;TEXT(VALUE(TRIM(MID(SUBSTITUTE(V01!C11,",",REPT(" ",99)),100,99))),"00")&amp;".jpg""&gt;")&amp;IF(TRIM(MID(SUBSTITUTE(V01!C11,",",REPT(" ",99)),199,99))="","","&lt;br&gt;"&amp;"&lt;img src="""&amp;'1 PREHĽAD'!$E$2&amp;"_S_"&amp;TEXT(VALUE(TRIM(MID(SUBSTITUTE(V01!C11,",",REPT(" ",99)),199,99))),"00")&amp;".jpg""&gt;")&amp;IF(TRIM(MID(SUBSTITUTE(V01!C11,",",REPT(" ",99)),298,99))="","","&lt;br&gt;"&amp;"&lt;img src="""&amp;'1 PREHĽAD'!$E$2&amp;"_S_"&amp;TEXT(VALUE(TRIM(MID(SUBSTITUTE(V01!C11,",",REPT(" ",99)),298,99))),"00")&amp;".jpg""&gt;"),V01!C11))</f>
        <v/>
      </c>
      <c r="D11" s="23" t="str">
        <f aca="false">IF(V01!D11="","",IFERROR(IF(TRIM(MID(SUBSTITUTE(V01!D11,",",REPT(" ",99)),1,99))="","","&lt;img src="""&amp;'1 PREHĽAD'!$E$2&amp;"_S_"&amp;TEXT(VALUE(TRIM(MID(SUBSTITUTE(V01!D11,",",REPT(" ",99)),1,99))),"00")&amp;".jpg""&gt;")&amp;IF(TRIM(MID(SUBSTITUTE(V01!D11,",",REPT(" ",99)),100,99))="","","&lt;br&gt;"&amp;"&lt;img src="""&amp;'1 PREHĽAD'!$E$2&amp;"_S_"&amp;TEXT(VALUE(TRIM(MID(SUBSTITUTE(V01!D11,",",REPT(" ",99)),100,99))),"00")&amp;".jpg""&gt;")&amp;IF(TRIM(MID(SUBSTITUTE(V01!D11,",",REPT(" ",99)),199,99))="","","&lt;br&gt;"&amp;"&lt;img src="""&amp;'1 PREHĽAD'!$E$2&amp;"_S_"&amp;TEXT(VALUE(TRIM(MID(SUBSTITUTE(V01!D11,",",REPT(" ",99)),199,99))),"00")&amp;".jpg""&gt;")&amp;IF(TRIM(MID(SUBSTITUTE(V01!D11,",",REPT(" ",99)),298,99))="","","&lt;br&gt;"&amp;"&lt;img src="""&amp;'1 PREHĽAD'!$E$2&amp;"_S_"&amp;TEXT(VALUE(TRIM(MID(SUBSTITUTE(V01!D11,",",REPT(" ",99)),298,99))),"00")&amp;".jpg""&gt;"),V01!D11))</f>
        <v>&lt;img src="PharmII_P_01_S_16.jpg"&gt;</v>
      </c>
      <c r="E11" s="18" t="str">
        <f aca="false">IF(V01!E11="","",V01!E11)</f>
        <v>Pharmazie::PharmII::V01</v>
      </c>
      <c r="F11" s="4"/>
    </row>
    <row r="12" customFormat="false" ht="15" hidden="false" customHeight="false" outlineLevel="0" collapsed="false">
      <c r="A12" s="18" t="str">
        <f aca="false">IF(V01!A12="","",V01!A12)</f>
        <v>NÚ heparínu</v>
      </c>
      <c r="B12" s="18" t="str">
        <f aca="false">IF(V01!B12="","",V01!B12)</f>
        <v>krvácanie, HIT (heparínom indukovaná trombocytopénia)</v>
      </c>
      <c r="C12" s="23" t="str">
        <f aca="false">IF(V01!C12="","",IFERROR(IF(TRIM(MID(SUBSTITUTE(V01!C12,",",REPT(" ",99)),1,99))="","","&lt;img src="""&amp;'1 PREHĽAD'!$E$2&amp;"_S_"&amp;TEXT(VALUE(TRIM(MID(SUBSTITUTE(V01!C12,",",REPT(" ",99)),1,99))),"00")&amp;".jpg""&gt;")&amp;IF(TRIM(MID(SUBSTITUTE(V01!C12,",",REPT(" ",99)),100,99))="","","&lt;br&gt;"&amp;"&lt;img src="""&amp;'1 PREHĽAD'!$E$2&amp;"_S_"&amp;TEXT(VALUE(TRIM(MID(SUBSTITUTE(V01!C12,",",REPT(" ",99)),100,99))),"00")&amp;".jpg""&gt;")&amp;IF(TRIM(MID(SUBSTITUTE(V01!C12,",",REPT(" ",99)),199,99))="","","&lt;br&gt;"&amp;"&lt;img src="""&amp;'1 PREHĽAD'!$E$2&amp;"_S_"&amp;TEXT(VALUE(TRIM(MID(SUBSTITUTE(V01!C12,",",REPT(" ",99)),199,99))),"00")&amp;".jpg""&gt;")&amp;IF(TRIM(MID(SUBSTITUTE(V01!C12,",",REPT(" ",99)),298,99))="","","&lt;br&gt;"&amp;"&lt;img src="""&amp;'1 PREHĽAD'!$E$2&amp;"_S_"&amp;TEXT(VALUE(TRIM(MID(SUBSTITUTE(V01!C12,",",REPT(" ",99)),298,99))),"00")&amp;".jpg""&gt;"),V01!C12))</f>
        <v>pozri skriptá str. 40</v>
      </c>
      <c r="D12" s="23" t="str">
        <f aca="false">IF(V01!D12="","",IFERROR(IF(TRIM(MID(SUBSTITUTE(V01!D12,",",REPT(" ",99)),1,99))="","","&lt;img src="""&amp;'1 PREHĽAD'!$E$2&amp;"_S_"&amp;TEXT(VALUE(TRIM(MID(SUBSTITUTE(V01!D12,",",REPT(" ",99)),1,99))),"00")&amp;".jpg""&gt;")&amp;IF(TRIM(MID(SUBSTITUTE(V01!D12,",",REPT(" ",99)),100,99))="","","&lt;br&gt;"&amp;"&lt;img src="""&amp;'1 PREHĽAD'!$E$2&amp;"_S_"&amp;TEXT(VALUE(TRIM(MID(SUBSTITUTE(V01!D12,",",REPT(" ",99)),100,99))),"00")&amp;".jpg""&gt;")&amp;IF(TRIM(MID(SUBSTITUTE(V01!D12,",",REPT(" ",99)),199,99))="","","&lt;br&gt;"&amp;"&lt;img src="""&amp;'1 PREHĽAD'!$E$2&amp;"_S_"&amp;TEXT(VALUE(TRIM(MID(SUBSTITUTE(V01!D12,",",REPT(" ",99)),199,99))),"00")&amp;".jpg""&gt;")&amp;IF(TRIM(MID(SUBSTITUTE(V01!D12,",",REPT(" ",99)),298,99))="","","&lt;br&gt;"&amp;"&lt;img src="""&amp;'1 PREHĽAD'!$E$2&amp;"_S_"&amp;TEXT(VALUE(TRIM(MID(SUBSTITUTE(V01!D12,",",REPT(" ",99)),298,99))),"00")&amp;".jpg""&gt;"),V01!D12))</f>
        <v>&lt;img src="PharmII_P_01_S_16.jpg"&gt;</v>
      </c>
      <c r="E12" s="18" t="str">
        <f aca="false">IF(V01!E12="","",V01!E12)</f>
        <v>Pharmazie::PharmII::V01</v>
      </c>
      <c r="F12" s="4"/>
    </row>
    <row r="13" customFormat="false" ht="15" hidden="false" customHeight="false" outlineLevel="0" collapsed="false">
      <c r="A13" s="18" t="str">
        <f aca="false">IF(V01!A13="","",V01!A13)</f>
        <v>Heparín v gravidite</v>
      </c>
      <c r="B13" s="18" t="str">
        <f aca="false">IF(V01!B13="","",V01!B13)</f>
        <v>NEprechádza placentou → bezpečný</v>
      </c>
      <c r="C13" s="23" t="str">
        <f aca="false">IF(V01!C13="","",IFERROR(IF(TRIM(MID(SUBSTITUTE(V01!C13,",",REPT(" ",99)),1,99))="","","&lt;img src="""&amp;'1 PREHĽAD'!$E$2&amp;"_S_"&amp;TEXT(VALUE(TRIM(MID(SUBSTITUTE(V01!C13,",",REPT(" ",99)),1,99))),"00")&amp;".jpg""&gt;")&amp;IF(TRIM(MID(SUBSTITUTE(V01!C13,",",REPT(" ",99)),100,99))="","","&lt;br&gt;"&amp;"&lt;img src="""&amp;'1 PREHĽAD'!$E$2&amp;"_S_"&amp;TEXT(VALUE(TRIM(MID(SUBSTITUTE(V01!C13,",",REPT(" ",99)),100,99))),"00")&amp;".jpg""&gt;")&amp;IF(TRIM(MID(SUBSTITUTE(V01!C13,",",REPT(" ",99)),199,99))="","","&lt;br&gt;"&amp;"&lt;img src="""&amp;'1 PREHĽAD'!$E$2&amp;"_S_"&amp;TEXT(VALUE(TRIM(MID(SUBSTITUTE(V01!C13,",",REPT(" ",99)),199,99))),"00")&amp;".jpg""&gt;")&amp;IF(TRIM(MID(SUBSTITUTE(V01!C13,",",REPT(" ",99)),298,99))="","","&lt;br&gt;"&amp;"&lt;img src="""&amp;'1 PREHĽAD'!$E$2&amp;"_S_"&amp;TEXT(VALUE(TRIM(MID(SUBSTITUTE(V01!C13,",",REPT(" ",99)),298,99))),"00")&amp;".jpg""&gt;"),V01!C13))</f>
        <v/>
      </c>
      <c r="D13" s="23" t="str">
        <f aca="false">IF(V01!D13="","",IFERROR(IF(TRIM(MID(SUBSTITUTE(V01!D13,",",REPT(" ",99)),1,99))="","","&lt;img src="""&amp;'1 PREHĽAD'!$E$2&amp;"_S_"&amp;TEXT(VALUE(TRIM(MID(SUBSTITUTE(V01!D13,",",REPT(" ",99)),1,99))),"00")&amp;".jpg""&gt;")&amp;IF(TRIM(MID(SUBSTITUTE(V01!D13,",",REPT(" ",99)),100,99))="","","&lt;br&gt;"&amp;"&lt;img src="""&amp;'1 PREHĽAD'!$E$2&amp;"_S_"&amp;TEXT(VALUE(TRIM(MID(SUBSTITUTE(V01!D13,",",REPT(" ",99)),100,99))),"00")&amp;".jpg""&gt;")&amp;IF(TRIM(MID(SUBSTITUTE(V01!D13,",",REPT(" ",99)),199,99))="","","&lt;br&gt;"&amp;"&lt;img src="""&amp;'1 PREHĽAD'!$E$2&amp;"_S_"&amp;TEXT(VALUE(TRIM(MID(SUBSTITUTE(V01!D13,",",REPT(" ",99)),199,99))),"00")&amp;".jpg""&gt;")&amp;IF(TRIM(MID(SUBSTITUTE(V01!D13,",",REPT(" ",99)),298,99))="","","&lt;br&gt;"&amp;"&lt;img src="""&amp;'1 PREHĽAD'!$E$2&amp;"_S_"&amp;TEXT(VALUE(TRIM(MID(SUBSTITUTE(V01!D13,",",REPT(" ",99)),298,99))),"00")&amp;".jpg""&gt;"),V01!D13))</f>
        <v>&lt;img src="PharmII_P_01_S_16.jpg"&gt;</v>
      </c>
      <c r="E13" s="18" t="str">
        <f aca="false">IF(V01!E13="","",V01!E13)</f>
        <v>Pharmazie::PharmII::V01</v>
      </c>
      <c r="F13" s="4"/>
    </row>
    <row r="14" customFormat="false" ht="22.35" hidden="false" customHeight="false" outlineLevel="0" collapsed="false">
      <c r="A14" s="18" t="str">
        <f aca="false">IF(V01!A14="","",V01!A14)</f>
        <v>Heparín – celý prehľad</v>
      </c>
      <c r="B14" s="18" t="str">
        <f aca="false">IF(V01!B14="","",V01!B14)</f>
        <v>mechanizmus, monitoring, podanie, NÚ</v>
      </c>
      <c r="C14" s="23" t="str">
        <f aca="false">IF(V01!C14="","",IFERROR(IF(TRIM(MID(SUBSTITUTE(V01!C14,",",REPT(" ",99)),1,99))="","","&lt;img src="""&amp;'1 PREHĽAD'!$E$2&amp;"_S_"&amp;TEXT(VALUE(TRIM(MID(SUBSTITUTE(V01!C14,",",REPT(" ",99)),1,99))),"00")&amp;".jpg""&gt;")&amp;IF(TRIM(MID(SUBSTITUTE(V01!C14,",",REPT(" ",99)),100,99))="","","&lt;br&gt;"&amp;"&lt;img src="""&amp;'1 PREHĽAD'!$E$2&amp;"_S_"&amp;TEXT(VALUE(TRIM(MID(SUBSTITUTE(V01!C14,",",REPT(" ",99)),100,99))),"00")&amp;".jpg""&gt;")&amp;IF(TRIM(MID(SUBSTITUTE(V01!C14,",",REPT(" ",99)),199,99))="","","&lt;br&gt;"&amp;"&lt;img src="""&amp;'1 PREHĽAD'!$E$2&amp;"_S_"&amp;TEXT(VALUE(TRIM(MID(SUBSTITUTE(V01!C14,",",REPT(" ",99)),199,99))),"00")&amp;".jpg""&gt;")&amp;IF(TRIM(MID(SUBSTITUTE(V01!C14,",",REPT(" ",99)),298,99))="","","&lt;br&gt;"&amp;"&lt;img src="""&amp;'1 PREHĽAD'!$E$2&amp;"_S_"&amp;TEXT(VALUE(TRIM(MID(SUBSTITUTE(V01!C14,",",REPT(" ",99)),298,99))),"00")&amp;".jpg""&gt;"),V01!C14))</f>
        <v/>
      </c>
      <c r="D14" s="23" t="str">
        <f aca="false">IF(V01!D14="","",IFERROR(IF(TRIM(MID(SUBSTITUTE(V01!D14,",",REPT(" ",99)),1,99))="","","&lt;img src="""&amp;'1 PREHĽAD'!$E$2&amp;"_S_"&amp;TEXT(VALUE(TRIM(MID(SUBSTITUTE(V01!D14,",",REPT(" ",99)),1,99))),"00")&amp;".jpg""&gt;")&amp;IF(TRIM(MID(SUBSTITUTE(V01!D14,",",REPT(" ",99)),100,99))="","","&lt;br&gt;"&amp;"&lt;img src="""&amp;'1 PREHĽAD'!$E$2&amp;"_S_"&amp;TEXT(VALUE(TRIM(MID(SUBSTITUTE(V01!D14,",",REPT(" ",99)),100,99))),"00")&amp;".jpg""&gt;")&amp;IF(TRIM(MID(SUBSTITUTE(V01!D14,",",REPT(" ",99)),199,99))="","","&lt;br&gt;"&amp;"&lt;img src="""&amp;'1 PREHĽAD'!$E$2&amp;"_S_"&amp;TEXT(VALUE(TRIM(MID(SUBSTITUTE(V01!D14,",",REPT(" ",99)),199,99))),"00")&amp;".jpg""&gt;")&amp;IF(TRIM(MID(SUBSTITUTE(V01!D14,",",REPT(" ",99)),298,99))="","","&lt;br&gt;"&amp;"&lt;img src="""&amp;'1 PREHĽAD'!$E$2&amp;"_S_"&amp;TEXT(VALUE(TRIM(MID(SUBSTITUTE(V01!D14,",",REPT(" ",99)),298,99))),"00")&amp;".jpg""&gt;"),V01!D14))</f>
        <v>&lt;img src="PharmII_P_01_S_15.jpg"&gt;&lt;br&gt;&lt;img src="PharmII_P_01_S_16.jpg"&gt;</v>
      </c>
      <c r="E14" s="18" t="str">
        <f aca="false">IF(V01!E14="","",V01!E14)</f>
        <v>Pharmazie::PharmII::V01</v>
      </c>
      <c r="F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2026-10-04T15:18:39Z</dcterms:created>
  <dc:creator>openpyxl</dc:creator>
  <dc:description/>
  <dc:language>en-US</dc:language>
  <cp:lastModifiedBy/>
  <dcterms:modified xsi:type="dcterms:W3CDTF">2026-10-04T15:18:39Z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